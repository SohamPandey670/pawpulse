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Clinic_Scorecard" sheetId="2" state="visible" r:id="rId2"/>
    <sheet name="SLA_Compliance_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₹#,##0"/>
    <numFmt numFmtId="166" formatCode="₹#,##0.00"/>
    <numFmt numFmtId="167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E1E2E"/>
      <sz val="16"/>
    </font>
    <font>
      <name val="Calibri"/>
      <i val="1"/>
      <color rgb="00555555"/>
      <sz val="10"/>
    </font>
    <font>
      <name val="Calibri"/>
      <b val="1"/>
      <color rgb="00666666"/>
      <sz val="9"/>
    </font>
    <font>
      <name val="Calibri"/>
      <b val="1"/>
      <color rgb="001E1E2E"/>
      <sz val="18"/>
    </font>
    <font>
      <name val="Calibri"/>
      <color rgb="00888888"/>
      <sz val="8"/>
    </font>
    <font>
      <name val="Calibri"/>
      <b val="1"/>
      <color rgb="001E1E2E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065F46"/>
      <sz val="11"/>
    </font>
    <font>
      <name val="Calibri"/>
      <b val="1"/>
      <color rgb="00991B1B"/>
      <sz val="11"/>
    </font>
  </fonts>
  <fills count="7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1E2E"/>
        <bgColor rgb="001E1E2E"/>
      </patternFill>
    </fill>
    <fill>
      <patternFill patternType="solid">
        <fgColor rgb="00F0F4F8"/>
        <bgColor rgb="00F0F4F8"/>
      </patternFill>
    </fill>
    <fill>
      <patternFill patternType="solid">
        <fgColor rgb="00ECFDF5"/>
        <bgColor rgb="00ECFDF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2" borderId="1" applyAlignment="1" pivotButton="0" quotePrefix="0" xfId="0">
      <alignment vertical="center"/>
    </xf>
    <xf numFmtId="0" fontId="5" fillId="2" borderId="1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center"/>
    </xf>
    <xf numFmtId="0" fontId="8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8" fillId="4" borderId="1" pivotButton="0" quotePrefix="0" xfId="0"/>
    <xf numFmtId="3" fontId="8" fillId="4" borderId="1" pivotButton="0" quotePrefix="0" xfId="0"/>
    <xf numFmtId="164" fontId="8" fillId="4" borderId="1" pivotButton="0" quotePrefix="0" xfId="0"/>
    <xf numFmtId="165" fontId="8" fillId="4" borderId="1" pivotButton="0" quotePrefix="0" xfId="0"/>
    <xf numFmtId="166" fontId="8" fillId="4" borderId="1" pivotButton="0" quotePrefix="0" xfId="0"/>
    <xf numFmtId="0" fontId="0" fillId="0" borderId="1" pivotButton="0" quotePrefix="0" xfId="0"/>
    <xf numFmtId="167" fontId="0" fillId="0" borderId="1" pivotButton="0" quotePrefix="0" xfId="0"/>
    <xf numFmtId="0" fontId="9" fillId="5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167" fontId="8" fillId="4" borderId="1" pivotButton="0" quotePrefix="0" xfId="0"/>
    <xf numFmtId="0" fontId="8" fillId="4" borderId="1" applyAlignment="1" pivotButton="0" quotePrefix="0" xfId="0">
      <alignment horizontal="center"/>
    </xf>
    <xf numFmtId="0" fontId="7" fillId="3" borderId="0" pivotButton="0" quotePrefix="0" xfId="0"/>
    <xf numFmtId="0" fontId="9" fillId="5" borderId="1" pivotButton="0" quotePrefix="0" xfId="0"/>
    <xf numFmtId="0" fontId="1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7" customWidth="1" min="3" max="3"/>
    <col width="17" customWidth="1" min="4" max="4"/>
    <col width="25" customWidth="1" min="5" max="5"/>
    <col width="13" customWidth="1" min="6" max="6"/>
    <col width="17" customWidth="1" min="7" max="7"/>
    <col width="29" customWidth="1" min="8" max="8"/>
    <col width="12" customWidth="1" min="9" max="9"/>
    <col width="12" customWidth="1" min="10" max="10"/>
  </cols>
  <sheetData>
    <row r="1"/>
    <row r="2">
      <c r="B2" s="1" t="inlineStr">
        <is>
          <t>🐾 PawPulse Pet Healthcare Operations Pack</t>
        </is>
      </c>
    </row>
    <row r="3">
      <c r="B3" s="2" t="inlineStr">
        <is>
          <t>Executive Monthly Management &amp; SLA Performance Dashboard</t>
        </is>
      </c>
    </row>
    <row r="4"/>
    <row r="5">
      <c r="B5" s="3" t="inlineStr">
        <is>
          <t>CONSULTATIONS (30D)</t>
        </is>
      </c>
      <c r="C5" s="4" t="n"/>
      <c r="D5" s="4" t="n"/>
      <c r="E5" s="3" t="inlineStr">
        <is>
          <t>AVG REFERRAL TAT</t>
        </is>
      </c>
      <c r="F5" s="4" t="n"/>
      <c r="G5" s="4" t="n"/>
      <c r="H5" s="3" t="inlineStr">
        <is>
          <t>RX UPLOAD COMPLIANCE</t>
        </is>
      </c>
      <c r="I5" s="4" t="n"/>
      <c r="J5" s="4" t="n"/>
    </row>
    <row r="6">
      <c r="B6" s="5" t="inlineStr">
        <is>
          <t>1,842</t>
        </is>
      </c>
      <c r="C6" s="4" t="n"/>
      <c r="D6" s="4" t="n"/>
      <c r="E6" s="5" t="inlineStr">
        <is>
          <t>3.1 hrs</t>
        </is>
      </c>
      <c r="F6" s="4" t="n"/>
      <c r="G6" s="4" t="n"/>
      <c r="H6" s="5" t="inlineStr">
        <is>
          <t>78.0%</t>
        </is>
      </c>
      <c r="I6" s="4" t="n"/>
      <c r="J6" s="4" t="n"/>
    </row>
    <row r="7">
      <c r="B7" s="6" t="inlineStr">
        <is>
          <t>+12.4% vs Prior Period</t>
        </is>
      </c>
      <c r="C7" s="4" t="n"/>
      <c r="D7" s="4" t="n"/>
      <c r="E7" s="6" t="inlineStr">
        <is>
          <t>SLA Target: &lt; 4.0 hrs</t>
        </is>
      </c>
      <c r="F7" s="4" t="n"/>
      <c r="G7" s="4" t="n"/>
      <c r="H7" s="6" t="inlineStr">
        <is>
          <t>Target Protocol: 90.0%</t>
        </is>
      </c>
      <c r="I7" s="4" t="n"/>
      <c r="J7" s="4" t="n"/>
    </row>
    <row r="8"/>
    <row r="9">
      <c r="B9" s="3" t="inlineStr">
        <is>
          <t>REPEAT VISIT RATE (90D)</t>
        </is>
      </c>
      <c r="C9" s="4" t="n"/>
      <c r="D9" s="4" t="n"/>
      <c r="E9" s="3" t="inlineStr">
        <is>
          <t>NO-SHOW RATE</t>
        </is>
      </c>
      <c r="F9" s="4" t="n"/>
      <c r="G9" s="4" t="n"/>
      <c r="H9" s="3" t="inlineStr">
        <is>
          <t>REVENUE (30D)</t>
        </is>
      </c>
      <c r="I9" s="4" t="n"/>
      <c r="J9" s="4" t="n"/>
    </row>
    <row r="10">
      <c r="B10" s="5" t="inlineStr">
        <is>
          <t>34.0%</t>
        </is>
      </c>
      <c r="C10" s="4" t="n"/>
      <c r="D10" s="4" t="n"/>
      <c r="E10" s="5" t="inlineStr">
        <is>
          <t>9.2%</t>
        </is>
      </c>
      <c r="F10" s="4" t="n"/>
      <c r="G10" s="4" t="n"/>
      <c r="H10" s="5" t="inlineStr">
        <is>
          <t>₹6,40,000</t>
        </is>
      </c>
      <c r="I10" s="4" t="n"/>
      <c r="J10" s="4" t="n"/>
    </row>
    <row r="11">
      <c r="B11" s="6" t="inlineStr">
        <is>
          <t>Retention Benchmark: &gt;30%</t>
        </is>
      </c>
      <c r="C11" s="4" t="n"/>
      <c r="D11" s="4" t="n"/>
      <c r="E11" s="6" t="inlineStr">
        <is>
          <t>Reduced by 1.1% MoM</t>
        </is>
      </c>
      <c r="F11" s="4" t="n"/>
      <c r="G11" s="4" t="n"/>
      <c r="H11" s="6" t="inlineStr">
        <is>
          <t>Avg ₹347 per consultation</t>
        </is>
      </c>
      <c r="I11" s="4" t="n"/>
      <c r="J11" s="4" t="n"/>
    </row>
    <row r="12"/>
    <row r="13"/>
    <row r="14">
      <c r="B14" s="7" t="inlineStr">
        <is>
          <t>Monthly Consultation &amp; Financial Trajectory</t>
        </is>
      </c>
    </row>
    <row r="15">
      <c r="B15" s="8" t="inlineStr">
        <is>
          <t>Month</t>
        </is>
      </c>
      <c r="C15" s="9" t="inlineStr">
        <is>
          <t>Total Booked</t>
        </is>
      </c>
      <c r="D15" s="9" t="inlineStr">
        <is>
          <t>Completed</t>
        </is>
      </c>
      <c r="E15" s="9" t="inlineStr">
        <is>
          <t>No-Shows</t>
        </is>
      </c>
      <c r="F15" s="9" t="inlineStr">
        <is>
          <t>No-Show %</t>
        </is>
      </c>
      <c r="G15" s="9" t="inlineStr">
        <is>
          <t>Revenue (INR)</t>
        </is>
      </c>
      <c r="H15" s="9" t="inlineStr">
        <is>
          <t>Avg Ticket (INR)</t>
        </is>
      </c>
    </row>
    <row r="16">
      <c r="B16" s="10" t="inlineStr">
        <is>
          <t>May 2026</t>
        </is>
      </c>
      <c r="C16" s="11" t="n">
        <v>1120</v>
      </c>
      <c r="D16" s="11" t="n">
        <v>990</v>
      </c>
      <c r="E16" s="11" t="n">
        <v>105</v>
      </c>
      <c r="F16" s="12">
        <f>E16/C16</f>
        <v/>
      </c>
      <c r="G16" s="13" t="n">
        <v>346500</v>
      </c>
      <c r="H16" s="14">
        <f>G16/D16</f>
        <v/>
      </c>
    </row>
    <row r="17">
      <c r="B17" s="10" t="inlineStr">
        <is>
          <t>Jun 2026</t>
        </is>
      </c>
      <c r="C17" s="11" t="n">
        <v>1280</v>
      </c>
      <c r="D17" s="11" t="n">
        <v>1140</v>
      </c>
      <c r="E17" s="11" t="n">
        <v>118</v>
      </c>
      <c r="F17" s="12">
        <f>E17/C17</f>
        <v/>
      </c>
      <c r="G17" s="13" t="n">
        <v>399000</v>
      </c>
      <c r="H17" s="14">
        <f>G17/D17</f>
        <v/>
      </c>
    </row>
    <row r="18">
      <c r="B18" s="10" t="inlineStr">
        <is>
          <t>Jul 2026</t>
        </is>
      </c>
      <c r="C18" s="11" t="n">
        <v>1450</v>
      </c>
      <c r="D18" s="11" t="n">
        <v>1300</v>
      </c>
      <c r="E18" s="11" t="n">
        <v>128</v>
      </c>
      <c r="F18" s="12">
        <f>E18/C18</f>
        <v/>
      </c>
      <c r="G18" s="13" t="n">
        <v>455000</v>
      </c>
      <c r="H18" s="14">
        <f>G18/D18</f>
        <v/>
      </c>
    </row>
    <row r="19">
      <c r="B19" s="10" t="inlineStr">
        <is>
          <t>Aug 2026</t>
        </is>
      </c>
      <c r="C19" s="11" t="n">
        <v>1620</v>
      </c>
      <c r="D19" s="11" t="n">
        <v>1460</v>
      </c>
      <c r="E19" s="11" t="n">
        <v>138</v>
      </c>
      <c r="F19" s="12">
        <f>E19/C19</f>
        <v/>
      </c>
      <c r="G19" s="13" t="n">
        <v>511000</v>
      </c>
      <c r="H19" s="14">
        <f>G19/D19</f>
        <v/>
      </c>
    </row>
    <row r="20">
      <c r="B20" s="10" t="inlineStr">
        <is>
          <t>Sep 2026</t>
        </is>
      </c>
      <c r="C20" s="11" t="n">
        <v>1790</v>
      </c>
      <c r="D20" s="11" t="n">
        <v>1610</v>
      </c>
      <c r="E20" s="11" t="n">
        <v>155</v>
      </c>
      <c r="F20" s="12">
        <f>E20/C20</f>
        <v/>
      </c>
      <c r="G20" s="13" t="n">
        <v>563500</v>
      </c>
      <c r="H20" s="14">
        <f>G20/D20</f>
        <v/>
      </c>
    </row>
    <row r="21">
      <c r="B21" s="10" t="inlineStr">
        <is>
          <t>Oct 2026 (MTD)</t>
        </is>
      </c>
      <c r="C21" s="11" t="n">
        <v>1842</v>
      </c>
      <c r="D21" s="11" t="n">
        <v>1680</v>
      </c>
      <c r="E21" s="11" t="n">
        <v>142</v>
      </c>
      <c r="F21" s="12">
        <f>E21/C21</f>
        <v/>
      </c>
      <c r="G21" s="13" t="n">
        <v>640000</v>
      </c>
      <c r="H21" s="14">
        <f>G21/D21</f>
        <v/>
      </c>
    </row>
    <row r="22">
      <c r="B22" s="15" t="inlineStr">
        <is>
          <t>TOTAL / YTD</t>
        </is>
      </c>
      <c r="C22" s="16">
        <f>SUM(C16:C21)</f>
        <v/>
      </c>
      <c r="D22" s="16">
        <f>SUM(D16:D21)</f>
        <v/>
      </c>
      <c r="E22" s="16">
        <f>SUM(E16:E21)</f>
        <v/>
      </c>
      <c r="F22" s="17">
        <f>E22/C22</f>
        <v/>
      </c>
      <c r="G22" s="18">
        <f>SUM(G16:G21)</f>
        <v/>
      </c>
      <c r="H22" s="19">
        <f>G22/D22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3" customWidth="1" min="3" max="3"/>
    <col width="16" customWidth="1" min="4" max="4"/>
    <col width="17" customWidth="1" min="5" max="5"/>
    <col width="20" customWidth="1" min="6" max="6"/>
    <col width="16" customWidth="1" min="7" max="7"/>
    <col width="38" customWidth="1" min="8" max="8"/>
    <col width="20" customWidth="1" min="9" max="9"/>
  </cols>
  <sheetData>
    <row r="1">
      <c r="A1" s="1" t="inlineStr">
        <is>
          <t>Clinic Performance Scorecard &amp; SLA Matrix</t>
        </is>
      </c>
    </row>
    <row r="2">
      <c r="A2" s="2" t="inlineStr">
        <is>
          <t>Comparative operational efficiency, revenue collection, and referral SLA tracking by facility</t>
        </is>
      </c>
    </row>
    <row r="3"/>
    <row r="4">
      <c r="A4" s="8" t="inlineStr">
        <is>
          <t>Clinic Name</t>
        </is>
      </c>
      <c r="B4" s="8" t="inlineStr">
        <is>
          <t>City</t>
        </is>
      </c>
      <c r="C4" s="8" t="inlineStr">
        <is>
          <t>Facility Type</t>
        </is>
      </c>
      <c r="D4" s="9" t="inlineStr">
        <is>
          <t>Consults</t>
        </is>
      </c>
      <c r="E4" s="9" t="inlineStr">
        <is>
          <t>Revenue (INR)</t>
        </is>
      </c>
      <c r="F4" s="9" t="inlineStr">
        <is>
          <t>Avg TAT (hrs)</t>
        </is>
      </c>
      <c r="G4" s="9" t="inlineStr">
        <is>
          <t>SLA Breaches</t>
        </is>
      </c>
      <c r="H4" s="9" t="inlineStr">
        <is>
          <t>SLA Status</t>
        </is>
      </c>
      <c r="I4" s="9" t="inlineStr">
        <is>
          <t>Rx Compliance %</t>
        </is>
      </c>
    </row>
    <row r="5">
      <c r="A5" s="10" t="inlineStr">
        <is>
          <t>PawCare Mumbai</t>
        </is>
      </c>
      <c r="B5" s="20" t="inlineStr">
        <is>
          <t>Mumbai</t>
        </is>
      </c>
      <c r="C5" s="20" t="inlineStr">
        <is>
          <t>Full Service Clinic</t>
        </is>
      </c>
      <c r="D5" s="11" t="n">
        <v>441</v>
      </c>
      <c r="E5" s="13" t="n">
        <v>185000</v>
      </c>
      <c r="F5" s="21" t="n">
        <v>2.1</v>
      </c>
      <c r="G5" s="11" t="n">
        <v>0</v>
      </c>
      <c r="H5" s="22">
        <f>IF(F5&lt;=4.0, "🟢 MET", "🔴 BREACH")</f>
        <v/>
      </c>
      <c r="I5" s="23" t="n">
        <v>0.82</v>
      </c>
    </row>
    <row r="6">
      <c r="A6" s="10" t="inlineStr">
        <is>
          <t>VetLife Pune</t>
        </is>
      </c>
      <c r="B6" s="20" t="inlineStr">
        <is>
          <t>Pune</t>
        </is>
      </c>
      <c r="C6" s="20" t="inlineStr">
        <is>
          <t>Specialty Center</t>
        </is>
      </c>
      <c r="D6" s="11" t="n">
        <v>388</v>
      </c>
      <c r="E6" s="13" t="n">
        <v>162000</v>
      </c>
      <c r="F6" s="21" t="n">
        <v>2.8</v>
      </c>
      <c r="G6" s="11" t="n">
        <v>0</v>
      </c>
      <c r="H6" s="22">
        <f>IF(F6&lt;=4.0, "🟢 MET", "🔴 BREACH")</f>
        <v/>
      </c>
      <c r="I6" s="23" t="n">
        <v>0.8</v>
      </c>
    </row>
    <row r="7">
      <c r="A7" s="10" t="inlineStr">
        <is>
          <t>PetFirst Bangalore</t>
        </is>
      </c>
      <c r="B7" s="20" t="inlineStr">
        <is>
          <t>Bangalore</t>
        </is>
      </c>
      <c r="C7" s="20" t="inlineStr">
        <is>
          <t>Full Service Clinic</t>
        </is>
      </c>
      <c r="D7" s="11" t="n">
        <v>334</v>
      </c>
      <c r="E7" s="13" t="n">
        <v>140000</v>
      </c>
      <c r="F7" s="21" t="n">
        <v>3.4</v>
      </c>
      <c r="G7" s="11" t="n">
        <v>0</v>
      </c>
      <c r="H7" s="22">
        <f>IF(F7&lt;=4.0, "🟢 MET", "🔴 BREACH")</f>
        <v/>
      </c>
      <c r="I7" s="23" t="n">
        <v>0.77</v>
      </c>
    </row>
    <row r="8">
      <c r="A8" s="10" t="inlineStr">
        <is>
          <t>PawCare Delhi</t>
        </is>
      </c>
      <c r="B8" s="20" t="inlineStr">
        <is>
          <t>Delhi</t>
        </is>
      </c>
      <c r="C8" s="20" t="inlineStr">
        <is>
          <t>Full Service Clinic</t>
        </is>
      </c>
      <c r="D8" s="11" t="n">
        <v>298</v>
      </c>
      <c r="E8" s="13" t="n">
        <v>125000</v>
      </c>
      <c r="F8" s="21" t="n">
        <v>4.6</v>
      </c>
      <c r="G8" s="11" t="n">
        <v>12</v>
      </c>
      <c r="H8" s="24">
        <f>IF(F8&lt;=4.0, "🟢 MET", "🔴 BREACH")</f>
        <v/>
      </c>
      <c r="I8" s="23" t="n">
        <v>0.75</v>
      </c>
    </row>
    <row r="9">
      <c r="A9" s="10" t="inlineStr">
        <is>
          <t>VetLife Chennai</t>
        </is>
      </c>
      <c r="B9" s="20" t="inlineStr">
        <is>
          <t>Chennai</t>
        </is>
      </c>
      <c r="C9" s="20" t="inlineStr">
        <is>
          <t>Specialty Center</t>
        </is>
      </c>
      <c r="D9" s="11" t="n">
        <v>210</v>
      </c>
      <c r="E9" s="13" t="n">
        <v>88000</v>
      </c>
      <c r="F9" s="21" t="n">
        <v>5.2</v>
      </c>
      <c r="G9" s="11" t="n">
        <v>18</v>
      </c>
      <c r="H9" s="24">
        <f>IF(F9&lt;=4.0, "🟢 MET", "🔴 BREACH")</f>
        <v/>
      </c>
      <c r="I9" s="23" t="n">
        <v>0.74</v>
      </c>
    </row>
    <row r="10">
      <c r="A10" s="10" t="inlineStr">
        <is>
          <t>PetFirst Hyderabad</t>
        </is>
      </c>
      <c r="B10" s="20" t="inlineStr">
        <is>
          <t>Hyderabad</t>
        </is>
      </c>
      <c r="C10" s="20" t="inlineStr">
        <is>
          <t>Full Service Clinic</t>
        </is>
      </c>
      <c r="D10" s="11" t="n">
        <v>171</v>
      </c>
      <c r="E10" s="13" t="n">
        <v>72000</v>
      </c>
      <c r="F10" s="21" t="n">
        <v>3.1</v>
      </c>
      <c r="G10" s="11" t="n">
        <v>0</v>
      </c>
      <c r="H10" s="22">
        <f>IF(F10&lt;=4.0, "🟢 MET", "🔴 BREACH")</f>
        <v/>
      </c>
      <c r="I10" s="23" t="n">
        <v>0.76</v>
      </c>
    </row>
    <row r="11">
      <c r="A11" s="15" t="inlineStr">
        <is>
          <t>NETWORK TOTAL</t>
        </is>
      </c>
      <c r="B11" s="15" t="n"/>
      <c r="C11" s="15" t="n"/>
      <c r="D11" s="16">
        <f>SUM(D5:D10)</f>
        <v/>
      </c>
      <c r="E11" s="18">
        <f>SUM(E5:E10)</f>
        <v/>
      </c>
      <c r="F11" s="25">
        <f>AVERAGE(F5:F10)</f>
        <v/>
      </c>
      <c r="G11" s="16">
        <f>SUM(G5:G10)</f>
        <v/>
      </c>
      <c r="H11" s="26">
        <f>IF(F11&lt;=4.0, "🟢 MET", "🔴 BREACH")</f>
        <v/>
      </c>
      <c r="I11" s="17">
        <f>AVERAGE(I5:I10)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21" customWidth="1" min="4" max="4"/>
    <col width="22" customWidth="1" min="5" max="5"/>
    <col width="22" customWidth="1" min="6" max="6"/>
    <col width="15" customWidth="1" min="7" max="7"/>
    <col width="46" customWidth="1" min="8" max="8"/>
    <col width="51" customWidth="1" min="9" max="9"/>
  </cols>
  <sheetData>
    <row r="1">
      <c r="A1" s="1" t="inlineStr">
        <is>
          <t>Care Coordinator Referral SLA Queue</t>
        </is>
      </c>
    </row>
    <row r="2">
      <c r="A2" s="2" t="inlineStr">
        <is>
          <t>Live monitoring of specialist handoffs and turn-around times (Target: &lt; 4.0 hours)</t>
        </is>
      </c>
    </row>
    <row r="3"/>
    <row r="4">
      <c r="A4" s="27" t="inlineStr">
        <is>
          <t>Referral ID</t>
        </is>
      </c>
      <c r="B4" s="27" t="inlineStr">
        <is>
          <t>Patient</t>
        </is>
      </c>
      <c r="C4" s="27" t="inlineStr">
        <is>
          <t>Species</t>
        </is>
      </c>
      <c r="D4" s="27" t="inlineStr">
        <is>
          <t>From Doctor</t>
        </is>
      </c>
      <c r="E4" s="27" t="inlineStr">
        <is>
          <t>To Specialist</t>
        </is>
      </c>
      <c r="F4" s="27" t="inlineStr">
        <is>
          <t>Destination Clinic</t>
        </is>
      </c>
      <c r="G4" s="27" t="inlineStr">
        <is>
          <t>TAT (Hours)</t>
        </is>
      </c>
      <c r="H4" s="27" t="inlineStr">
        <is>
          <t>SLA Compliance</t>
        </is>
      </c>
      <c r="I4" s="27" t="inlineStr">
        <is>
          <t>Clinical Reason</t>
        </is>
      </c>
    </row>
    <row r="5">
      <c r="A5" s="10" t="inlineStr">
        <is>
          <t>REF-801</t>
        </is>
      </c>
      <c r="B5" s="20" t="inlineStr">
        <is>
          <t>Bruno</t>
        </is>
      </c>
      <c r="C5" s="20" t="inlineStr">
        <is>
          <t>Dog</t>
        </is>
      </c>
      <c r="D5" s="20" t="inlineStr">
        <is>
          <t>Dr. Ananya Sharma</t>
        </is>
      </c>
      <c r="E5" s="20" t="inlineStr">
        <is>
          <t>Dr. Vikram Patel</t>
        </is>
      </c>
      <c r="F5" s="20" t="inlineStr">
        <is>
          <t>VetLife Pune</t>
        </is>
      </c>
      <c r="G5" s="21" t="n">
        <v>2.1</v>
      </c>
      <c r="H5" s="28">
        <f>IF(G5&lt;=4.0, "🟢 SLA MET", "🔴 SLA BREACH")</f>
        <v/>
      </c>
      <c r="I5" s="20" t="inlineStr">
        <is>
          <t>Suspected ligament tear - orthopedic review</t>
        </is>
      </c>
    </row>
    <row r="6">
      <c r="A6" s="10" t="inlineStr">
        <is>
          <t>REF-802</t>
        </is>
      </c>
      <c r="B6" s="20" t="inlineStr">
        <is>
          <t>Whiskers</t>
        </is>
      </c>
      <c r="C6" s="20" t="inlineStr">
        <is>
          <t>Cat</t>
        </is>
      </c>
      <c r="D6" s="20" t="inlineStr">
        <is>
          <t>Dr. Rajesh Gowda</t>
        </is>
      </c>
      <c r="E6" s="20" t="inlineStr">
        <is>
          <t>Dr. Priya Nair</t>
        </is>
      </c>
      <c r="F6" s="20" t="inlineStr">
        <is>
          <t>PetFirst Bangalore</t>
        </is>
      </c>
      <c r="G6" s="21" t="n">
        <v>3.4</v>
      </c>
      <c r="H6" s="28">
        <f>IF(G6&lt;=4.0, "🟢 SLA MET", "🔴 SLA BREACH")</f>
        <v/>
      </c>
      <c r="I6" s="20" t="inlineStr">
        <is>
          <t>Dermatology second opinion for recurring rash</t>
        </is>
      </c>
    </row>
    <row r="7">
      <c r="A7" s="10" t="inlineStr">
        <is>
          <t>REF-803</t>
        </is>
      </c>
      <c r="B7" s="20" t="inlineStr">
        <is>
          <t>Coco</t>
        </is>
      </c>
      <c r="C7" s="20" t="inlineStr">
        <is>
          <t>Dog</t>
        </is>
      </c>
      <c r="D7" s="20" t="inlineStr">
        <is>
          <t>Dr. Rahul Desai</t>
        </is>
      </c>
      <c r="E7" s="20" t="inlineStr">
        <is>
          <t>Dr. Arjun Reddy</t>
        </is>
      </c>
      <c r="F7" s="20" t="inlineStr">
        <is>
          <t>PetFirst Hyderabad</t>
        </is>
      </c>
      <c r="G7" s="21" t="n">
        <v>4.6</v>
      </c>
      <c r="H7" s="29">
        <f>IF(G7&lt;=4.0, "🟢 SLA MET", "🔴 SLA BREACH")</f>
        <v/>
      </c>
      <c r="I7" s="20" t="inlineStr">
        <is>
          <t>SLA BREACH - Joint dysplasia evaluation delayed</t>
        </is>
      </c>
    </row>
    <row r="8">
      <c r="A8" s="10" t="inlineStr">
        <is>
          <t>REF-804</t>
        </is>
      </c>
      <c r="B8" s="20" t="inlineStr">
        <is>
          <t>Simba</t>
        </is>
      </c>
      <c r="C8" s="20" t="inlineStr">
        <is>
          <t>Cat</t>
        </is>
      </c>
      <c r="D8" s="20" t="inlineStr">
        <is>
          <t>Dr. Sunita Verma</t>
        </is>
      </c>
      <c r="E8" s="20" t="inlineStr">
        <is>
          <t>Dr. Meera Iyer</t>
        </is>
      </c>
      <c r="F8" s="20" t="inlineStr">
        <is>
          <t>VetLife Chennai</t>
        </is>
      </c>
      <c r="G8" s="21" t="n">
        <v>5.2</v>
      </c>
      <c r="H8" s="29">
        <f>IF(G8&lt;=4.0, "🟢 SLA MET", "🔴 SLA BREACH")</f>
        <v/>
      </c>
      <c r="I8" s="20" t="inlineStr">
        <is>
          <t>SLA BREACH - Oncology mass biopsy handoff</t>
        </is>
      </c>
    </row>
    <row r="9">
      <c r="A9" s="10" t="inlineStr">
        <is>
          <t>REF-805</t>
        </is>
      </c>
      <c r="B9" s="20" t="inlineStr">
        <is>
          <t>Max</t>
        </is>
      </c>
      <c r="C9" s="20" t="inlineStr">
        <is>
          <t>Dog</t>
        </is>
      </c>
      <c r="D9" s="20" t="inlineStr">
        <is>
          <t>Dr. Vikram Patel</t>
        </is>
      </c>
      <c r="E9" s="20" t="inlineStr">
        <is>
          <t>Dr. Sneha Kulkarni</t>
        </is>
      </c>
      <c r="F9" s="20" t="inlineStr">
        <is>
          <t>PawCare Mumbai</t>
        </is>
      </c>
      <c r="G9" s="21" t="n">
        <v>2.8</v>
      </c>
      <c r="H9" s="28">
        <f>IF(G9&lt;=4.0, "🟢 SLA MET", "🔴 SLA BREACH")</f>
        <v/>
      </c>
      <c r="I9" s="20" t="inlineStr">
        <is>
          <t>Echocardiogram cardiac assessment</t>
        </is>
      </c>
    </row>
    <row r="10">
      <c r="A10" s="10" t="inlineStr">
        <is>
          <t>REF-806</t>
        </is>
      </c>
      <c r="B10" s="20" t="inlineStr">
        <is>
          <t>Polly</t>
        </is>
      </c>
      <c r="C10" s="20" t="inlineStr">
        <is>
          <t>Bird</t>
        </is>
      </c>
      <c r="D10" s="20" t="inlineStr">
        <is>
          <t>Dr. Karthik Menon</t>
        </is>
      </c>
      <c r="E10" s="20" t="inlineStr">
        <is>
          <t>Dr. Ananya Sharma</t>
        </is>
      </c>
      <c r="F10" s="20" t="inlineStr">
        <is>
          <t>PawCare Mumbai</t>
        </is>
      </c>
      <c r="G10" s="21" t="n">
        <v>1.8</v>
      </c>
      <c r="H10" s="28">
        <f>IF(G10&lt;=4.0, "🟢 SLA MET", "🔴 SLA BREACH")</f>
        <v/>
      </c>
      <c r="I10" s="20" t="inlineStr">
        <is>
          <t>Wing fracture orthopedic stabilization</t>
        </is>
      </c>
    </row>
    <row r="11">
      <c r="A11" s="10" t="inlineStr">
        <is>
          <t>REF-807</t>
        </is>
      </c>
      <c r="B11" s="20" t="inlineStr">
        <is>
          <t>Rocky</t>
        </is>
      </c>
      <c r="C11" s="20" t="inlineStr">
        <is>
          <t>Dog</t>
        </is>
      </c>
      <c r="D11" s="20" t="inlineStr">
        <is>
          <t>Dr. Priya Nair</t>
        </is>
      </c>
      <c r="E11" s="20" t="inlineStr">
        <is>
          <t>Dr. Vikram Patel</t>
        </is>
      </c>
      <c r="F11" s="20" t="inlineStr">
        <is>
          <t>VetLife Pune</t>
        </is>
      </c>
      <c r="G11" s="21" t="n">
        <v>2.5</v>
      </c>
      <c r="H11" s="28">
        <f>IF(G11&lt;=4.0, "🟢 SLA MET", "🔴 SLA BREACH")</f>
        <v/>
      </c>
      <c r="I11" s="20" t="inlineStr">
        <is>
          <t>Post-op rehabilitation review</t>
        </is>
      </c>
    </row>
    <row r="12">
      <c r="A12" s="10" t="inlineStr">
        <is>
          <t>REF-808</t>
        </is>
      </c>
      <c r="B12" s="20" t="inlineStr">
        <is>
          <t>Milo</t>
        </is>
      </c>
      <c r="C12" s="20" t="inlineStr">
        <is>
          <t>Cat</t>
        </is>
      </c>
      <c r="D12" s="20" t="inlineStr">
        <is>
          <t>Dr. Arjun Reddy</t>
        </is>
      </c>
      <c r="E12" s="20" t="inlineStr">
        <is>
          <t>Dr. Rahul Desai</t>
        </is>
      </c>
      <c r="F12" s="20" t="inlineStr">
        <is>
          <t>PawCare Delhi</t>
        </is>
      </c>
      <c r="G12" s="21" t="n">
        <v>3.2</v>
      </c>
      <c r="H12" s="28">
        <f>IF(G12&lt;=4.0, "🟢 SLA MET", "🔴 SLA BREACH")</f>
        <v/>
      </c>
      <c r="I12" s="20" t="inlineStr">
        <is>
          <t>Metabolic endocrine diagnostic consultation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2026-10-18T11:04:15Z</dcterms:created>
  <dcterms:modified xsi:type="dcterms:W3CDTF">2026-10-18T11:04:15Z</dcterms:modified>
</cp:coreProperties>
</file>